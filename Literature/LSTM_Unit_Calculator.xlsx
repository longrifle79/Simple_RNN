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STM Unit" sheetId="1" state="visible" r:id="rId3"/>
  </sheets>
  <definedNames>
    <definedName function="false" hidden="false" localSheetId="0" name="_xlnm.Print_Titles" vbProcedure="false">'LSTM Unit'!$1:$2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<sst xmlns="http://schemas.openxmlformats.org/spreadsheetml/2006/main" count="54" uniqueCount="52">
  <si>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 xml:space="preserve">LSTM Unit Calculator (Scalar)</t>
  </si>
  <si>
    <t xml:space="preserve">Educational model of a single Long Short-Term Memory (LSTM) cell. Change the yellow input cells — everything recalculates automatically.</t>
  </si>
  <si>
    <t xml:space="preserve">1. INPUTS  (edit these)</t>
  </si>
  <si>
    <t xml:space="preserve">Current input  xₜ</t>
  </si>
  <si>
    <t xml:space="preserve">Previous hidden state  hₜ₋₁</t>
  </si>
  <si>
    <t xml:space="preserve">Previous cell state  Cₜ₋₁</t>
  </si>
  <si>
    <t xml:space="preserve">2. WEIGHTS &amp; BIASES  (edit these)</t>
  </si>
  <si>
    <t xml:space="preserve">Gate</t>
  </si>
  <si>
    <t xml:space="preserve">W (input)</t>
  </si>
  <si>
    <t xml:space="preserve">U (recurrent)</t>
  </si>
  <si>
    <t xml:space="preserve">b (bias)</t>
  </si>
  <si>
    <t xml:space="preserve">Description</t>
  </si>
  <si>
    <t xml:space="preserve">Forget gate  f</t>
  </si>
  <si>
    <t xml:space="preserve">Controls what to forget from Cₜ₋₁</t>
  </si>
  <si>
    <t xml:space="preserve">Input gate  i</t>
  </si>
  <si>
    <t xml:space="preserve">Controls how much new info to write</t>
  </si>
  <si>
    <t xml:space="preserve">Candidate  Č</t>
  </si>
  <si>
    <t xml:space="preserve">Proposed new cell content (tanh)</t>
  </si>
  <si>
    <t xml:space="preserve">Output gate  o</t>
  </si>
  <si>
    <t xml:space="preserve">Controls what to output from Cₜ</t>
  </si>
  <si>
    <t xml:space="preserve">3. GATE CALCULATIONS</t>
  </si>
  <si>
    <t xml:space="preserve">Step</t>
  </si>
  <si>
    <t xml:space="preserve">Linear combo (z)</t>
  </si>
  <si>
    <t xml:space="preserve">Activation</t>
  </si>
  <si>
    <t xml:space="preserve">Result</t>
  </si>
  <si>
    <t xml:space="preserve">Formula used</t>
  </si>
  <si>
    <t xml:space="preserve">Meaning</t>
  </si>
  <si>
    <t xml:space="preserve">Forget gate  fₜ</t>
  </si>
  <si>
    <t xml:space="preserve">sigmoid</t>
  </si>
  <si>
    <t xml:space="preserve">σ(Wf·x + Uf·h + bf)</t>
  </si>
  <si>
    <t xml:space="preserve">How much of previous cell to keep (0=forget, 1=keep)</t>
  </si>
  <si>
    <t xml:space="preserve">Input gate  iₜ</t>
  </si>
  <si>
    <t xml:space="preserve">σ(Wi·x + Ui·h + bi)</t>
  </si>
  <si>
    <t xml:space="preserve">How much new candidate to add</t>
  </si>
  <si>
    <t xml:space="preserve">Candidate  Čₜ</t>
  </si>
  <si>
    <t xml:space="preserve">tanh</t>
  </si>
  <si>
    <t xml:space="preserve">tanh(Wc·x + Uc·h + bc)</t>
  </si>
  <si>
    <t xml:space="preserve">New information proposed for the cell</t>
  </si>
  <si>
    <t xml:space="preserve">Output gate  oₜ</t>
  </si>
  <si>
    <t xml:space="preserve">σ(Wo·x + Uo·h + bo)</t>
  </si>
  <si>
    <t xml:space="preserve">How much of cell state to expose as output</t>
  </si>
  <si>
    <t xml:space="preserve">4. CELL STATE &amp; HIDDEN STATE UPDATE</t>
  </si>
  <si>
    <t xml:space="preserve">New cell state  Cₜ</t>
  </si>
  <si>
    <t xml:space="preserve">fₜ ⊙ Cₜ₋₁ + iₜ ⊙ Čₜ</t>
  </si>
  <si>
    <t xml:space="preserve">Updated long-term memory</t>
  </si>
  <si>
    <t xml:space="preserve">New hidden state  hₜ</t>
  </si>
  <si>
    <t xml:space="preserve">oₜ ⊙ tanh(Cₜ)</t>
  </si>
  <si>
    <t xml:space="preserve">Output / short-term state passed to next step</t>
  </si>
  <si>
    <t xml:space="preserve">5. LSTM EQUATIONS (for reference)</t>
  </si>
  <si>
    <t xml:space="preserve">fₜ = σ(Wf · xₜ + Uf · hₜ₋₁ + bf)          ← Forget gate
iₜ = σ(Wi · xₜ + Ui · hₜ₋₁ + bi)          ← Input gate
Čₜ = tanh(Wc · xₜ + Uc · hₜ₋₁ + bc)     ← Candidate cell state
Cₜ = fₜ ⊙ Cₜ₋₁ + iₜ ⊙ Čₜ                 ← New cell state
oₜ = σ(Wo · xₜ + Uo · hₜ₋₁ + bo)          ← Output gate
hₜ = oₜ ⊙ tanh(Cₜ)                       ← New hidden state</t>
  </si>
  <si>
    <t xml:space="preserve">Notes:
• This is a scalar (1-dimensional) LSTM unit for clarity. In real networks, x, h, and C are vectors and W/U are matrices.
• Yellow cells are editable inputs. Green cells are the final outputs of the LSTM unit.
• σ is the sigmoid function: 1 / (1 + e^(−z)).  tanh is the hyperbolic tangent.
• The ⊙ symbol means element-wise multiplication (Hadamard product).</t>
  </si>
  <si>
    <t xml:space="preserve">How to experiment:
1. Change xₜ, hₜ₋₁, or Cₜ₋₁ in the yellow Input cells.
2. Adjust any weight or bias in the yellow parameter cells.
3. Watch the gates (section 3) and the final Cₜ / hₜ (section 4) update automatically.
4. Try extreme values (e.g. very large positive/negative weights) to see how the gates saturate.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</si>
</sst>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sz val="10"/>
      <name val="Consolas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9E6"/>
      </patternFill>
    </fill>
    <fill>
      <patternFill patternType="solid">
        <fgColor rgb="FFD6EAF8"/>
        <bgColor rgb="FFE2EFDA"/>
      </patternFill>
    </fill>
    <fill>
      <patternFill patternType="solid">
        <fgColor rgb="FFE2EFDA"/>
        <bgColor rgb="FFD6EAF8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5F5F5"/>
        <bgColor rgb="FFFFF9E6"/>
      </patternFill>
    </fill>
    <fill>
      <patternFill patternType="solid">
        <fgColor rgb="FFFFF9E6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E6"/>
      <rgbColor rgb="FFD6EAF8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4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0.5</v>
      </c>
    </row>
    <row r="6" customFormat="false" ht="15" hidden="false" customHeight="false" outlineLevel="0" collapsed="false">
      <c r="A6" s="4" t="s">
        <v>4</v>
      </c>
      <c r="B6" s="5" t="n">
        <v>0.1</v>
      </c>
    </row>
    <row r="7" customFormat="false" ht="15" hidden="false" customHeight="false" outlineLevel="0" collapsed="false">
      <c r="A7" s="4" t="s">
        <v>5</v>
      </c>
      <c r="B7" s="5" t="n">
        <v>0.2</v>
      </c>
    </row>
    <row r="9" customFormat="false" ht="15" hidden="false" customHeight="false" outlineLevel="0" collapsed="false">
      <c r="A9" s="3" t="s">
        <v>6</v>
      </c>
      <c r="B9" s="3"/>
      <c r="C9" s="3"/>
      <c r="D9" s="3"/>
      <c r="E9" s="3"/>
    </row>
    <row r="10" customFormat="false" ht="15" hidden="false" customHeight="false" outlineLevel="0" collapsed="false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</row>
    <row r="11" customFormat="false" ht="15" hidden="false" customHeight="false" outlineLevel="0" collapsed="false">
      <c r="A11" s="7" t="s">
        <v>12</v>
      </c>
      <c r="B11" s="5" t="n">
        <v>0.8</v>
      </c>
      <c r="C11" s="5" t="n">
        <v>0.5</v>
      </c>
      <c r="D11" s="5" t="n">
        <v>0.1</v>
      </c>
      <c r="E11" s="8" t="s">
        <v>13</v>
      </c>
    </row>
    <row r="12" customFormat="false" ht="15" hidden="false" customHeight="false" outlineLevel="0" collapsed="false">
      <c r="A12" s="7" t="s">
        <v>14</v>
      </c>
      <c r="B12" s="5" t="n">
        <v>0.7</v>
      </c>
      <c r="C12" s="5" t="n">
        <v>0.4</v>
      </c>
      <c r="D12" s="5" t="n">
        <v>0</v>
      </c>
      <c r="E12" s="8" t="s">
        <v>15</v>
      </c>
    </row>
    <row r="13" customFormat="false" ht="15" hidden="false" customHeight="false" outlineLevel="0" collapsed="false">
      <c r="A13" s="7" t="s">
        <v>16</v>
      </c>
      <c r="B13" s="5" t="n">
        <v>0.9</v>
      </c>
      <c r="C13" s="5" t="n">
        <v>0.6</v>
      </c>
      <c r="D13" s="5" t="n">
        <v>0.2</v>
      </c>
      <c r="E13" s="8" t="s">
        <v>17</v>
      </c>
    </row>
    <row r="14" customFormat="false" ht="15" hidden="false" customHeight="false" outlineLevel="0" collapsed="false">
      <c r="A14" s="7" t="s">
        <v>18</v>
      </c>
      <c r="B14" s="5" t="n">
        <v>0.6</v>
      </c>
      <c r="C14" s="5" t="n">
        <v>0.3</v>
      </c>
      <c r="D14" s="5" t="n">
        <v>-0.1</v>
      </c>
      <c r="E14" s="8" t="s">
        <v>19</v>
      </c>
    </row>
    <row r="16" customFormat="false" ht="15" hidden="false" customHeight="false" outlineLevel="0" collapsed="false">
      <c r="A16" s="3" t="s">
        <v>20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9" t="s">
        <v>21</v>
      </c>
      <c r="B17" s="9" t="s">
        <v>22</v>
      </c>
      <c r="C17" s="9" t="s">
        <v>23</v>
      </c>
      <c r="D17" s="9" t="s">
        <v>24</v>
      </c>
      <c r="E17" s="9" t="s">
        <v>25</v>
      </c>
      <c r="F17" s="9" t="s">
        <v>26</v>
      </c>
    </row>
    <row r="18" customFormat="false" ht="15" hidden="false" customHeight="false" outlineLevel="0" collapsed="false">
      <c r="A18" s="10" t="s">
        <v>27</v>
      </c>
      <c r="B18" s="11" t="n">
        <f aca="false">B11*$B$5 + C11*$B$6 + D11</f>
        <v>0.55</v>
      </c>
      <c r="C18" s="12" t="s">
        <v>28</v>
      </c>
      <c r="D18" s="13" t="n">
        <f aca="false">1/(1+EXP(-B18))</f>
        <v>0.634135591010801</v>
      </c>
      <c r="E18" s="8" t="s">
        <v>29</v>
      </c>
      <c r="F18" s="8" t="s">
        <v>30</v>
      </c>
    </row>
    <row r="19" customFormat="false" ht="15" hidden="false" customHeight="false" outlineLevel="0" collapsed="false">
      <c r="A19" s="10" t="s">
        <v>31</v>
      </c>
      <c r="B19" s="11" t="n">
        <f aca="false">B12*$B$5 + C12*$B$6 + D12</f>
        <v>0.39</v>
      </c>
      <c r="C19" s="12" t="s">
        <v>28</v>
      </c>
      <c r="D19" s="13" t="n">
        <f aca="false">1/(1+EXP(-B19))</f>
        <v>0.596282699296788</v>
      </c>
      <c r="E19" s="8" t="s">
        <v>32</v>
      </c>
      <c r="F19" s="8" t="s">
        <v>33</v>
      </c>
    </row>
    <row r="20" customFormat="false" ht="15" hidden="false" customHeight="false" outlineLevel="0" collapsed="false">
      <c r="A20" s="10" t="s">
        <v>34</v>
      </c>
      <c r="B20" s="11" t="n">
        <f aca="false">B13*$B$5 + C13*$B$6 + D13</f>
        <v>0.71</v>
      </c>
      <c r="C20" s="12" t="s">
        <v>35</v>
      </c>
      <c r="D20" s="13" t="n">
        <f aca="false">TANH(B20)</f>
        <v>0.610676832816844</v>
      </c>
      <c r="E20" s="8" t="s">
        <v>36</v>
      </c>
      <c r="F20" s="8" t="s">
        <v>37</v>
      </c>
    </row>
    <row r="21" customFormat="false" ht="15" hidden="false" customHeight="false" outlineLevel="0" collapsed="false">
      <c r="A21" s="10" t="s">
        <v>38</v>
      </c>
      <c r="B21" s="11" t="n">
        <f aca="false">B14*$B$5 + C14*$B$6 + D14</f>
        <v>0.23</v>
      </c>
      <c r="C21" s="12" t="s">
        <v>28</v>
      </c>
      <c r="D21" s="13" t="n">
        <f aca="false">1/(1+EXP(-B21))</f>
        <v>0.557247854598556</v>
      </c>
      <c r="E21" s="8" t="s">
        <v>39</v>
      </c>
      <c r="F21" s="8" t="s">
        <v>40</v>
      </c>
    </row>
    <row r="23" customFormat="false" ht="15" hidden="false" customHeight="false" outlineLevel="0" collapsed="false">
      <c r="A23" s="3" t="s">
        <v>41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14" t="s">
        <v>42</v>
      </c>
      <c r="B24" s="15" t="n">
        <f aca="false">D18*B7 + D19*D20</f>
        <v>0.490963148472201</v>
      </c>
      <c r="D24" s="15" t="n">
        <f aca="false">B24</f>
        <v>0.490963148472201</v>
      </c>
      <c r="E24" s="8" t="s">
        <v>43</v>
      </c>
      <c r="F24" s="8" t="s">
        <v>44</v>
      </c>
    </row>
    <row r="25" customFormat="false" ht="15" hidden="false" customHeight="false" outlineLevel="0" collapsed="false">
      <c r="A25" s="14" t="s">
        <v>45</v>
      </c>
      <c r="B25" s="15" t="n">
        <f aca="false">D21*TANH(B24)</f>
        <v>0.253536928130171</v>
      </c>
      <c r="D25" s="15" t="n">
        <f aca="false">B25</f>
        <v>0.253536928130171</v>
      </c>
      <c r="E25" s="8" t="s">
        <v>46</v>
      </c>
      <c r="F25" s="8" t="s">
        <v>47</v>
      </c>
    </row>
    <row r="27" customFormat="false" ht="15" hidden="false" customHeight="false" outlineLevel="0" collapsed="false">
      <c r="A27" s="3" t="s">
        <v>48</v>
      </c>
      <c r="B27" s="3"/>
      <c r="C27" s="3"/>
      <c r="D27" s="3"/>
      <c r="E27" s="3"/>
      <c r="F27" s="3"/>
    </row>
    <row r="28" customFormat="false" ht="94.5" hidden="false" customHeight="true" outlineLevel="0" collapsed="false">
      <c r="A28" s="16" t="s">
        <v>49</v>
      </c>
      <c r="B28" s="16"/>
      <c r="C28" s="16"/>
      <c r="D28" s="16"/>
      <c r="E28" s="16"/>
      <c r="F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</row>
    <row r="34" customFormat="false" ht="15" hidden="false" customHeight="true" outlineLevel="0" collapsed="false">
      <c r="A34" s="17" t="s">
        <v>50</v>
      </c>
      <c r="B34" s="17"/>
      <c r="C34" s="17"/>
      <c r="D34" s="17"/>
      <c r="E34" s="17"/>
      <c r="F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</row>
    <row r="38" customFormat="false" ht="15" hidden="false" customHeight="true" outlineLevel="0" collapsed="false">
      <c r="A38" s="18" t="s">
        <v>51</v>
      </c>
      <c r="B38" s="18"/>
      <c r="C38" s="18"/>
      <c r="D38" s="18"/>
      <c r="E38" s="18"/>
      <c r="F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</row>
  </sheetData>
  <mergeCells count="10">
    <mergeCell ref="A1:F1"/>
    <mergeCell ref="A2:F2"/>
    <mergeCell ref="A4:B4"/>
    <mergeCell ref="A9:E9"/>
    <mergeCell ref="A16:F16"/>
    <mergeCell ref="A23:F23"/>
    <mergeCell ref="A27:F27"/>
    <mergeCell ref="A28:F32"/>
    <mergeCell ref="A34:F36"/>
    <mergeCell ref="A38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2026-08-04T20:35:38Z</dcterms:created>
  <dc:creator>openpyxl</dc:creator>
  <dc:description/>
  <dc:language>en-US</dc:language>
  <cp:lastModifiedBy/>
  <dcterms:modified xsi:type="dcterms:W3CDTF">2026-08-04T20:35:39Z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